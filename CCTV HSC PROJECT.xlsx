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0"/>
  <workbookPr/>
  <mc:AlternateContent xmlns:mc="http://schemas.openxmlformats.org/markup-compatibility/2006">
    <mc:Choice Requires="x15">
      <x15ac:absPath xmlns:x15ac="http://schemas.microsoft.com/office/spreadsheetml/2010/11/ac" url="C:\Users\Admin\Desktop\HSC\"/>
    </mc:Choice>
  </mc:AlternateContent>
  <xr:revisionPtr revIDLastSave="0" documentId="8_{B9972D3B-539E-B643-8776-9BFF26368AD6}" xr6:coauthVersionLast="47" xr6:coauthVersionMax="47" xr10:uidLastSave="{00000000-0000-0000-0000-000000000000}"/>
  <bookViews>
    <workbookView xWindow="0" yWindow="0" windowWidth="28800" windowHeight="12015" xr2:uid="{00000000-000D-0000-FFFF-FFFF00000000}"/>
  </bookViews>
  <sheets>
    <sheet name="Limco - HS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F5" i="1"/>
  <c r="H5" i="1"/>
  <c r="H3" i="1"/>
  <c r="H4" i="1"/>
  <c r="H23" i="1"/>
  <c r="H24" i="1"/>
  <c r="H25" i="1"/>
</calcChain>
</file>

<file path=xl/sharedStrings.xml><?xml version="1.0" encoding="utf-8"?>
<sst xmlns="http://schemas.openxmlformats.org/spreadsheetml/2006/main" count="86" uniqueCount="57">
  <si>
    <t>SI.NO</t>
  </si>
  <si>
    <t>Items</t>
  </si>
  <si>
    <t>Description</t>
  </si>
  <si>
    <t>Make</t>
  </si>
  <si>
    <t>Uom</t>
  </si>
  <si>
    <t>TOTAL QTY</t>
  </si>
  <si>
    <t>Unit Price</t>
  </si>
  <si>
    <t>Amount</t>
  </si>
  <si>
    <t>Remark</t>
  </si>
  <si>
    <t xml:space="preserve">Bullet </t>
  </si>
  <si>
    <t>Supply, Installation, Testing and commissioning of 2 MP 1920*1080 Fixed lens camera with 2.8mm, WDR, 3D DNR, BLC, IR Range 40 mtr, Smart Analytics - Line crossing detection, intrusion detection,  PoE Supported.</t>
  </si>
  <si>
    <t>CP Plus</t>
  </si>
  <si>
    <t>Nos.</t>
  </si>
  <si>
    <t>Dome</t>
  </si>
  <si>
    <t xml:space="preserve">Supply, Installation, Testing and commissioning of 2 MP 1920*1080 Fixed lens camera with 2.8mm, WDR, 3D DNR, BLC, IR Range 40 mtr, Smart Analytics </t>
  </si>
  <si>
    <t>Software</t>
  </si>
  <si>
    <t xml:space="preserve">Supply, Installation, Testing and commissioning  of Centralized CP Plus Software </t>
  </si>
  <si>
    <t>HDD</t>
  </si>
  <si>
    <t>Supply, Installation, Testing and commissioning of 10 TB Enterprise HDD</t>
  </si>
  <si>
    <t>Seagate</t>
  </si>
  <si>
    <t>POE Switch</t>
  </si>
  <si>
    <t>Supply, Installation, Testing and Commissioning of  Smart Managed 24-Port Gigabit PoE Switch, 24 × gigabit PoE ports, and 2 × gigabit fiber optical ports, Network topology management, alarm push, network health monitor, 6 kV surge protection for PoE ports. Various layer 2 management protocols such as STP/RSTP, VLAN, link aggregation, SNMP, QoS and so on</t>
  </si>
  <si>
    <t>Dlink</t>
  </si>
  <si>
    <t>Supply, Installation, Testing and Commissioning of  Smart Managed 8-Port Gigabit PoE Switch, 24 × gigabit PoE ports, and 2 × gigabit fiber optical ports, Network topology management, alarm push, network health monitor, 6 kV surge protection for PoE ports. Various layer 2 management protocols such as STP/RSTP, VLAN, link aggregation, SNMP, QoS and so on</t>
  </si>
  <si>
    <t>LIU</t>
  </si>
  <si>
    <t>Supply, Installation, Testing and Commissioning of  12 Port Loaded LIU with complete Optical Fiber Cable splicing as required and all required accessories like pigtail, adaptor, Splicing Tray Rack-mountable Housing, Fiber Management Kit</t>
  </si>
  <si>
    <t>D-Link</t>
  </si>
  <si>
    <t>SFP</t>
  </si>
  <si>
    <t>Supply, Installation, Testing and commisioning 1.25Gbps SFP Bi-Directional Transceiver, 20km, 1310/1550, LC SFP Module, 1.2G SFP, 1000BASE-FX, LC,Bidi LC SFP Transceiver</t>
  </si>
  <si>
    <t>Patch Cord</t>
  </si>
  <si>
    <t>Supply, Installation, Testing and commissioning of SC-LC (SC on one end, LC on the other) Fiber Patch Cord MM with 2 Mtr Length, Supports high-speed data transmission over the Network, Robust design suitable for various environments</t>
  </si>
  <si>
    <t>Cable Manager</t>
  </si>
  <si>
    <t>Supply, Installation, Testing and Commissioning of 2u Cable Manager For Managing cable inside the Racks</t>
  </si>
  <si>
    <t>Netrack / Dynamic</t>
  </si>
  <si>
    <t>Rack</t>
  </si>
  <si>
    <t>Supply, Installation, Testing and commissioning of  12u Network Closed Rack Dimensions: 650mm Depth x 677mm Height x 600mm Width, Closed rack with lockable doors and perforated panels for ventilation, with all accessories like Mounting Hardware, Power Distribution Unit (PDU), Trays and Shelves (For mounting non-trackable equipment), Cooling Fans, Cable Management Accessories, Wall-Mount Brackets or Floor Stand-secure floor mounting (if floor-mounted) etc.</t>
  </si>
  <si>
    <t>Cable</t>
  </si>
  <si>
    <t>Supply, Installation, Testing and Commissioning of  Cat-6 Cable, Integrate the cables into the network system, connecting them to switches on one end and CCTV Camera on the other.</t>
  </si>
  <si>
    <t>Mtr.</t>
  </si>
  <si>
    <t xml:space="preserve">Connector </t>
  </si>
  <si>
    <t>RJ45 Connector</t>
  </si>
  <si>
    <t>ISO Certified</t>
  </si>
  <si>
    <t>Supply, Installation, Testing and Commissioning of 3 Core 2.5 Sqmm Power Cable suitable for Handing the Power load of the Complete Rack.</t>
  </si>
  <si>
    <t xml:space="preserve">KVVS </t>
  </si>
  <si>
    <t>OFC</t>
  </si>
  <si>
    <t>Supply, Installation, Testing and Commissioning of 6 core single mode Armored optical fiber Cable, Supports high data transmission rates, Optimized for operation at 1310 nm and 1550 nm wavelengths, which are standard for long-distance communication.</t>
  </si>
  <si>
    <t>D-Link / Finolex</t>
  </si>
  <si>
    <t>PVC conduits</t>
  </si>
  <si>
    <t>Supply, Installation, Testing and Commissioning of  25 mm PVC Conduit with Complete accessories like junction boxes, bends, couplings, elbows, Conduit Clips/Saddles, end caps, and mounting hardware.</t>
  </si>
  <si>
    <t>Supply and installation of MCV 10 AMP with socket.</t>
  </si>
  <si>
    <t>Supply and installation of  DHI  NKB1000-E Joy Stick</t>
  </si>
  <si>
    <t>Supply and installation of 48 Inch LED TV, black colur with all besic requirement.</t>
  </si>
  <si>
    <t>Miscellaneous</t>
  </si>
  <si>
    <t>Auxiliary Construction/Installation Items (Scissor Lift/Bucket Lifters/ Ladder/ Machine Rental etc.)</t>
  </si>
  <si>
    <t>Total</t>
  </si>
  <si>
    <t>GST @ 18%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</si>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</sst>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43" fontId="0" fillId="3" borderId="1" xfId="1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1" xfId="1" applyNumberFormat="1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1" applyNumberFormat="1" applyFont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164" fontId="0" fillId="0" borderId="1" xfId="2" applyFont="1" applyBorder="1"/>
    <xf numFmtId="0" fontId="2" fillId="0" borderId="1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>
      <selection activeCell="H22" sqref="H22"/>
    </sheetView>
  </sheetViews>
  <sheetFormatPr defaultColWidth="8.875" defaultRowHeight="15" customHeight="1" x14ac:dyDescent="0.2"/>
  <cols>
    <col min="1" max="1" width="6.1875" style="1" customWidth="1"/>
    <col min="2" max="2" width="11.56640625" customWidth="1"/>
    <col min="3" max="3" width="75.46484375" customWidth="1"/>
    <col min="4" max="4" width="11.43359375" customWidth="1"/>
    <col min="5" max="5" width="11.8359375" style="1" customWidth="1"/>
    <col min="6" max="6" width="11.02734375" style="1" bestFit="1" customWidth="1"/>
    <col min="7" max="7" width="14.125" style="1" customWidth="1"/>
    <col min="8" max="8" width="14.66015625" style="1" customWidth="1"/>
    <col min="9" max="9" width="13.31640625" customWidth="1"/>
    <col min="10" max="10" width="3.2265625" customWidth="1"/>
    <col min="11" max="12" width="25.15234375" customWidth="1"/>
  </cols>
  <sheetData>
    <row r="1" spans="1:10" x14ac:dyDescent="0.2">
      <c r="I1" s="1"/>
    </row>
    <row r="2" spans="1:10" s="1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10" s="10" customFormat="1" ht="41.25" x14ac:dyDescent="0.2">
      <c r="A3" s="3">
        <v>1</v>
      </c>
      <c r="B3" s="4" t="s">
        <v>9</v>
      </c>
      <c r="C3" s="5" t="s">
        <v>10</v>
      </c>
      <c r="D3" s="6" t="s">
        <v>11</v>
      </c>
      <c r="E3" s="7" t="s">
        <v>12</v>
      </c>
      <c r="F3" s="7">
        <v>101</v>
      </c>
      <c r="G3" s="8"/>
      <c r="H3" s="8">
        <f>G3*F3</f>
        <v>0</v>
      </c>
      <c r="I3" s="9"/>
    </row>
    <row r="4" spans="1:10" s="10" customFormat="1" ht="27.75" x14ac:dyDescent="0.2">
      <c r="A4" s="3">
        <f>A3+1</f>
        <v>2</v>
      </c>
      <c r="B4" s="4" t="s">
        <v>13</v>
      </c>
      <c r="C4" s="5" t="s">
        <v>14</v>
      </c>
      <c r="D4" s="6" t="s">
        <v>11</v>
      </c>
      <c r="E4" s="7" t="s">
        <v>12</v>
      </c>
      <c r="F4" s="7">
        <v>4</v>
      </c>
      <c r="G4" s="8"/>
      <c r="H4" s="8">
        <f t="shared" ref="H4:H22" si="0">G4*F4</f>
        <v>0</v>
      </c>
      <c r="I4" s="9"/>
    </row>
    <row r="5" spans="1:10" x14ac:dyDescent="0.2">
      <c r="A5" s="3">
        <f t="shared" ref="A5:A21" si="1">A4+1</f>
        <v>3</v>
      </c>
      <c r="B5" s="11" t="s">
        <v>15</v>
      </c>
      <c r="C5" s="11" t="s">
        <v>16</v>
      </c>
      <c r="D5" s="12" t="s">
        <v>11</v>
      </c>
      <c r="E5" s="13" t="s">
        <v>12</v>
      </c>
      <c r="F5" s="13">
        <f>F3+F4</f>
        <v>105</v>
      </c>
      <c r="G5" s="14"/>
      <c r="H5" s="8">
        <f t="shared" si="0"/>
        <v>0</v>
      </c>
      <c r="I5" s="15"/>
    </row>
    <row r="6" spans="1:10" ht="25.5" customHeight="1" x14ac:dyDescent="0.2">
      <c r="A6" s="3">
        <f t="shared" si="1"/>
        <v>4</v>
      </c>
      <c r="B6" s="11" t="s">
        <v>17</v>
      </c>
      <c r="C6" s="11" t="s">
        <v>18</v>
      </c>
      <c r="D6" s="12" t="s">
        <v>19</v>
      </c>
      <c r="E6" s="13" t="s">
        <v>12</v>
      </c>
      <c r="F6" s="13">
        <v>10</v>
      </c>
      <c r="G6" s="14"/>
      <c r="H6" s="8">
        <f t="shared" si="0"/>
        <v>0</v>
      </c>
      <c r="I6" s="15"/>
    </row>
    <row r="7" spans="1:10" s="20" customFormat="1" ht="68.25" x14ac:dyDescent="0.2">
      <c r="A7" s="3">
        <f t="shared" si="1"/>
        <v>5</v>
      </c>
      <c r="B7" s="4" t="s">
        <v>20</v>
      </c>
      <c r="C7" s="16" t="s">
        <v>21</v>
      </c>
      <c r="D7" s="16" t="s">
        <v>22</v>
      </c>
      <c r="E7" s="7" t="s">
        <v>12</v>
      </c>
      <c r="F7" s="7">
        <v>7</v>
      </c>
      <c r="G7" s="17"/>
      <c r="H7" s="17">
        <f t="shared" si="0"/>
        <v>0</v>
      </c>
      <c r="I7" s="18"/>
      <c r="J7" s="19"/>
    </row>
    <row r="8" spans="1:10" s="20" customFormat="1" ht="68.25" x14ac:dyDescent="0.2">
      <c r="A8" s="3">
        <f t="shared" si="1"/>
        <v>6</v>
      </c>
      <c r="B8" s="4" t="s">
        <v>20</v>
      </c>
      <c r="C8" s="16" t="s">
        <v>23</v>
      </c>
      <c r="D8" s="16" t="s">
        <v>22</v>
      </c>
      <c r="E8" s="7" t="s">
        <v>12</v>
      </c>
      <c r="F8" s="7">
        <v>10</v>
      </c>
      <c r="G8" s="17"/>
      <c r="H8" s="17">
        <f t="shared" si="0"/>
        <v>0</v>
      </c>
      <c r="I8" s="18"/>
      <c r="J8" s="19"/>
    </row>
    <row r="9" spans="1:10" s="20" customFormat="1" ht="41.25" x14ac:dyDescent="0.2">
      <c r="A9" s="3">
        <f t="shared" si="1"/>
        <v>7</v>
      </c>
      <c r="B9" s="4" t="s">
        <v>24</v>
      </c>
      <c r="C9" s="21" t="s">
        <v>25</v>
      </c>
      <c r="D9" s="16" t="s">
        <v>26</v>
      </c>
      <c r="E9" s="7" t="s">
        <v>12</v>
      </c>
      <c r="F9" s="7">
        <v>10</v>
      </c>
      <c r="G9" s="17"/>
      <c r="H9" s="17">
        <f t="shared" si="0"/>
        <v>0</v>
      </c>
      <c r="I9" s="22"/>
      <c r="J9" s="19"/>
    </row>
    <row r="10" spans="1:10" s="20" customFormat="1" ht="27.75" x14ac:dyDescent="0.2">
      <c r="A10" s="3">
        <f t="shared" si="1"/>
        <v>8</v>
      </c>
      <c r="B10" s="4" t="s">
        <v>27</v>
      </c>
      <c r="C10" s="21" t="s">
        <v>28</v>
      </c>
      <c r="D10" s="16" t="s">
        <v>26</v>
      </c>
      <c r="E10" s="7" t="s">
        <v>12</v>
      </c>
      <c r="F10" s="7">
        <v>26</v>
      </c>
      <c r="G10" s="17"/>
      <c r="H10" s="17">
        <f t="shared" si="0"/>
        <v>0</v>
      </c>
      <c r="I10" s="18"/>
      <c r="J10" s="19"/>
    </row>
    <row r="11" spans="1:10" s="20" customFormat="1" ht="41.25" x14ac:dyDescent="0.2">
      <c r="A11" s="3">
        <f t="shared" si="1"/>
        <v>9</v>
      </c>
      <c r="B11" s="4" t="s">
        <v>29</v>
      </c>
      <c r="C11" s="23" t="s">
        <v>30</v>
      </c>
      <c r="D11" s="16" t="s">
        <v>26</v>
      </c>
      <c r="E11" s="7" t="s">
        <v>12</v>
      </c>
      <c r="F11" s="7">
        <v>52</v>
      </c>
      <c r="G11" s="8"/>
      <c r="H11" s="8">
        <f t="shared" si="0"/>
        <v>0</v>
      </c>
      <c r="I11" s="24"/>
    </row>
    <row r="12" spans="1:10" s="20" customFormat="1" ht="27.75" x14ac:dyDescent="0.2">
      <c r="A12" s="3">
        <f t="shared" si="1"/>
        <v>10</v>
      </c>
      <c r="B12" s="4" t="s">
        <v>31</v>
      </c>
      <c r="C12" s="25" t="s">
        <v>32</v>
      </c>
      <c r="D12" s="16" t="s">
        <v>33</v>
      </c>
      <c r="E12" s="7" t="s">
        <v>12</v>
      </c>
      <c r="F12" s="7">
        <v>10</v>
      </c>
      <c r="G12" s="8"/>
      <c r="H12" s="8">
        <f t="shared" si="0"/>
        <v>0</v>
      </c>
      <c r="I12" s="24"/>
    </row>
    <row r="13" spans="1:10" s="20" customFormat="1" ht="81" x14ac:dyDescent="0.2">
      <c r="A13" s="3">
        <f t="shared" si="1"/>
        <v>11</v>
      </c>
      <c r="B13" s="4" t="s">
        <v>34</v>
      </c>
      <c r="C13" s="4" t="s">
        <v>35</v>
      </c>
      <c r="D13" s="16" t="s">
        <v>33</v>
      </c>
      <c r="E13" s="7" t="s">
        <v>12</v>
      </c>
      <c r="F13" s="7">
        <v>7</v>
      </c>
      <c r="G13" s="8"/>
      <c r="H13" s="8">
        <f t="shared" si="0"/>
        <v>0</v>
      </c>
      <c r="I13" s="24"/>
    </row>
    <row r="14" spans="1:10" s="20" customFormat="1" ht="27.75" x14ac:dyDescent="0.2">
      <c r="A14" s="3">
        <f t="shared" si="1"/>
        <v>12</v>
      </c>
      <c r="B14" s="4" t="s">
        <v>36</v>
      </c>
      <c r="C14" s="21" t="s">
        <v>37</v>
      </c>
      <c r="D14" s="16" t="s">
        <v>22</v>
      </c>
      <c r="E14" s="7" t="s">
        <v>38</v>
      </c>
      <c r="F14" s="26">
        <v>10000</v>
      </c>
      <c r="G14" s="8"/>
      <c r="H14" s="8">
        <f t="shared" si="0"/>
        <v>0</v>
      </c>
      <c r="I14" s="24"/>
    </row>
    <row r="15" spans="1:10" s="20" customFormat="1" x14ac:dyDescent="0.2">
      <c r="A15" s="3">
        <f t="shared" si="1"/>
        <v>13</v>
      </c>
      <c r="B15" s="4" t="s">
        <v>39</v>
      </c>
      <c r="C15" s="21" t="s">
        <v>40</v>
      </c>
      <c r="D15" s="16" t="s">
        <v>41</v>
      </c>
      <c r="E15" s="7" t="s">
        <v>12</v>
      </c>
      <c r="F15" s="7">
        <v>400</v>
      </c>
      <c r="G15" s="8"/>
      <c r="H15" s="8">
        <f t="shared" si="0"/>
        <v>0</v>
      </c>
      <c r="I15" s="24"/>
    </row>
    <row r="16" spans="1:10" s="20" customFormat="1" ht="27.75" x14ac:dyDescent="0.2">
      <c r="A16" s="3">
        <f t="shared" si="1"/>
        <v>14</v>
      </c>
      <c r="B16" s="4" t="s">
        <v>36</v>
      </c>
      <c r="C16" s="21" t="s">
        <v>42</v>
      </c>
      <c r="D16" s="21" t="s">
        <v>43</v>
      </c>
      <c r="E16" s="7" t="s">
        <v>38</v>
      </c>
      <c r="F16" s="7">
        <v>1500</v>
      </c>
      <c r="G16" s="8"/>
      <c r="H16" s="8">
        <f t="shared" si="0"/>
        <v>0</v>
      </c>
      <c r="I16" s="24"/>
    </row>
    <row r="17" spans="1:10" s="20" customFormat="1" ht="41.25" x14ac:dyDescent="0.2">
      <c r="A17" s="3">
        <f t="shared" si="1"/>
        <v>15</v>
      </c>
      <c r="B17" s="4" t="s">
        <v>44</v>
      </c>
      <c r="C17" s="21" t="s">
        <v>45</v>
      </c>
      <c r="D17" s="16" t="s">
        <v>46</v>
      </c>
      <c r="E17" s="7" t="s">
        <v>38</v>
      </c>
      <c r="F17" s="7">
        <v>1500</v>
      </c>
      <c r="G17" s="8"/>
      <c r="H17" s="8">
        <f t="shared" si="0"/>
        <v>0</v>
      </c>
      <c r="I17" s="24"/>
    </row>
    <row r="18" spans="1:10" s="20" customFormat="1" ht="41.25" x14ac:dyDescent="0.2">
      <c r="A18" s="3">
        <f t="shared" si="1"/>
        <v>16</v>
      </c>
      <c r="B18" s="4" t="s">
        <v>47</v>
      </c>
      <c r="C18" s="21" t="s">
        <v>48</v>
      </c>
      <c r="D18" s="21" t="s">
        <v>41</v>
      </c>
      <c r="E18" s="7" t="s">
        <v>38</v>
      </c>
      <c r="F18" s="7">
        <v>7000</v>
      </c>
      <c r="G18" s="17"/>
      <c r="H18" s="17">
        <f t="shared" si="0"/>
        <v>0</v>
      </c>
      <c r="I18" s="18"/>
      <c r="J18" s="19"/>
    </row>
    <row r="19" spans="1:10" s="20" customFormat="1" x14ac:dyDescent="0.2">
      <c r="A19" s="3">
        <f t="shared" si="1"/>
        <v>17</v>
      </c>
      <c r="B19" s="24"/>
      <c r="C19" s="24" t="s">
        <v>49</v>
      </c>
      <c r="D19" s="24"/>
      <c r="E19" s="27" t="s">
        <v>12</v>
      </c>
      <c r="F19" s="27">
        <v>7</v>
      </c>
      <c r="G19" s="28"/>
      <c r="H19" s="17">
        <f t="shared" si="0"/>
        <v>0</v>
      </c>
      <c r="I19" s="18"/>
      <c r="J19" s="19"/>
    </row>
    <row r="20" spans="1:10" s="20" customFormat="1" x14ac:dyDescent="0.2">
      <c r="A20" s="3">
        <f t="shared" si="1"/>
        <v>18</v>
      </c>
      <c r="B20" s="24"/>
      <c r="C20" s="24" t="s">
        <v>50</v>
      </c>
      <c r="D20" s="24" t="s">
        <v>11</v>
      </c>
      <c r="E20" s="27" t="s">
        <v>12</v>
      </c>
      <c r="F20" s="27">
        <v>1</v>
      </c>
      <c r="G20" s="28"/>
      <c r="H20" s="17">
        <f t="shared" si="0"/>
        <v>0</v>
      </c>
      <c r="I20" s="18"/>
      <c r="J20" s="19"/>
    </row>
    <row r="21" spans="1:10" s="20" customFormat="1" x14ac:dyDescent="0.2">
      <c r="A21" s="3">
        <f t="shared" si="1"/>
        <v>19</v>
      </c>
      <c r="B21" s="24"/>
      <c r="C21" s="24" t="s">
        <v>51</v>
      </c>
      <c r="D21" s="24" t="s">
        <v>11</v>
      </c>
      <c r="E21" s="24" t="s">
        <v>12</v>
      </c>
      <c r="F21" s="27">
        <v>2</v>
      </c>
      <c r="G21" s="28"/>
      <c r="H21" s="17">
        <f t="shared" si="0"/>
        <v>0</v>
      </c>
      <c r="I21" s="18"/>
      <c r="J21" s="19"/>
    </row>
    <row r="22" spans="1:10" s="20" customFormat="1" ht="27.75" x14ac:dyDescent="0.2">
      <c r="A22" s="3">
        <v>20</v>
      </c>
      <c r="B22" s="4" t="s">
        <v>52</v>
      </c>
      <c r="C22" s="21" t="s">
        <v>53</v>
      </c>
      <c r="D22" s="16"/>
      <c r="E22" s="7"/>
      <c r="F22" s="7">
        <v>1</v>
      </c>
      <c r="G22" s="17"/>
      <c r="H22" s="17">
        <f t="shared" si="0"/>
        <v>0</v>
      </c>
      <c r="I22" s="18"/>
      <c r="J22" s="19"/>
    </row>
    <row r="23" spans="1:10" x14ac:dyDescent="0.2">
      <c r="A23" s="30" t="s">
        <v>54</v>
      </c>
      <c r="B23" s="30"/>
      <c r="C23" s="30"/>
      <c r="D23" s="30"/>
      <c r="E23" s="30"/>
      <c r="F23" s="30"/>
      <c r="G23" s="30"/>
      <c r="H23" s="29">
        <f>SUM(H3:H22)</f>
        <v>0</v>
      </c>
      <c r="I23" s="29"/>
    </row>
    <row r="24" spans="1:10" x14ac:dyDescent="0.2">
      <c r="A24" s="30" t="s">
        <v>55</v>
      </c>
      <c r="B24" s="30"/>
      <c r="C24" s="30"/>
      <c r="D24" s="30"/>
      <c r="E24" s="30"/>
      <c r="F24" s="30"/>
      <c r="G24" s="30"/>
      <c r="H24" s="29">
        <f>H23*18%</f>
        <v>0</v>
      </c>
      <c r="I24" s="29"/>
    </row>
    <row r="25" spans="1:10" x14ac:dyDescent="0.2">
      <c r="A25" s="30" t="s">
        <v>56</v>
      </c>
      <c r="B25" s="30"/>
      <c r="C25" s="30"/>
      <c r="D25" s="30"/>
      <c r="E25" s="30"/>
      <c r="F25" s="30"/>
      <c r="G25" s="30"/>
      <c r="H25" s="29">
        <f>H23+H24</f>
        <v>0</v>
      </c>
      <c r="I25" s="29"/>
    </row>
  </sheetData>
  <mergeCells count="3">
    <mergeCell ref="A23:G23"/>
    <mergeCell ref="A24:G24"/>
    <mergeCell ref="A25:G25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Limco - HSC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2025-12-20T06:40:57Z</dcterms:created>
  <dcterms:modified xsi:type="dcterms:W3CDTF">2025-12-20T06:41:26Z</dcterms:modified>
</cp:coreProperties>
</file>